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0160" tabRatio="600" firstSheet="0" activeTab="0" autoFilterDateGrouping="1"/>
  </bookViews>
  <sheets>
    <sheet xmlns:r="http://schemas.openxmlformats.org/officeDocument/2006/relationships" name="執行9A76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1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color indexed="8"/>
      <sz val="10"/>
    </font>
    <font>
      <name val="新細明體"/>
      <charset val="136"/>
      <family val="1"/>
      <sz val="9"/>
    </font>
    <font>
      <name val="細明體"/>
      <charset val="136"/>
      <family val="3"/>
      <color indexed="8"/>
      <sz val="10"/>
    </font>
    <font>
      <name val="標楷體"/>
      <charset val="136"/>
      <family val="4"/>
      <b val="1"/>
      <color indexed="8"/>
      <sz val="16"/>
    </font>
    <font>
      <name val="新細明體"/>
      <charset val="136"/>
      <family val="1"/>
      <b val="1"/>
      <color rgb="FFFF0000"/>
      <sz val="16"/>
      <u val="single"/>
    </font>
    <font>
      <name val="新細明體"/>
      <charset val="136"/>
      <family val="1"/>
      <color rgb="FFFF0000"/>
      <sz val="10"/>
    </font>
    <font>
      <name val="Calibri"/>
      <family val="2"/>
      <b val="1"/>
      <color theme="1"/>
      <sz val="12"/>
    </font>
    <font>
      <name val="新細明體"/>
      <charset val="136"/>
      <family val="1"/>
      <b val="1"/>
      <color theme="1"/>
      <sz val="12"/>
    </font>
    <font>
      <name val="Calibri"/>
      <family val="2"/>
      <b val="1"/>
      <color theme="1"/>
      <sz val="12"/>
      <u val="single"/>
    </font>
    <font>
      <name val="新細明體"/>
      <charset val="136"/>
      <family val="1"/>
      <b val="1"/>
      <color theme="1"/>
      <sz val="12"/>
      <u val="single"/>
    </font>
    <font>
      <name val="新細明體"/>
      <charset val="136"/>
      <family val="1"/>
      <b val="1"/>
      <color rgb="FFFF0000"/>
      <sz val="12"/>
      <u val="single"/>
    </font>
    <font>
      <name val="Calibri"/>
      <family val="2"/>
      <b val="1"/>
      <color rgb="FFFF0000"/>
      <sz val="12"/>
      <u val="single"/>
    </font>
    <font>
      <name val="新細明體"/>
      <charset val="136"/>
      <family val="1"/>
      <b val="1"/>
      <color rgb="FFFF0000"/>
      <sz val="12"/>
    </font>
    <font>
      <name val="細明體"/>
      <charset val="136"/>
      <family val="3"/>
      <b val="1"/>
      <color theme="1"/>
      <sz val="12"/>
    </font>
    <font>
      <name val="細明體"/>
      <charset val="136"/>
      <family val="3"/>
      <b val="1"/>
      <color rgb="FFFF0000"/>
      <sz val="12"/>
      <u val="single"/>
    </font>
    <font>
      <name val="新細明體"/>
      <charset val="136"/>
      <family val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6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164" fontId="3" fillId="2" borderId="0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0" fontId="3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 wrapText="1"/>
    </xf>
    <xf numFmtId="164" fontId="3" fillId="2" borderId="1" applyAlignment="1" pivotButton="0" quotePrefix="0" xfId="1">
      <alignment vertical="center"/>
    </xf>
    <xf numFmtId="164" fontId="3" fillId="0" borderId="1" applyAlignment="1" pivotButton="0" quotePrefix="0" xfId="1">
      <alignment vertical="center"/>
    </xf>
    <xf numFmtId="164" fontId="3" fillId="0" borderId="1" applyAlignment="1" pivotButton="0" quotePrefix="0" xfId="1">
      <alignment horizontal="center" vertical="center"/>
    </xf>
    <xf numFmtId="164" fontId="3" fillId="2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/>
    </xf>
    <xf numFmtId="164" fontId="3" fillId="3" borderId="1" applyAlignment="1" pivotButton="0" quotePrefix="0" xfId="1">
      <alignment vertical="center"/>
    </xf>
    <xf numFmtId="0" fontId="3" fillId="3" borderId="1" applyAlignment="1" pivotButton="0" quotePrefix="0" xfId="1">
      <alignment horizontal="center" vertical="center"/>
    </xf>
    <xf numFmtId="0" fontId="3" fillId="0" borderId="1" applyAlignment="1" pivotButton="0" quotePrefix="0" xfId="1">
      <alignment horizontal="center" vertical="center" wrapText="1"/>
    </xf>
    <xf numFmtId="0" fontId="6" fillId="0" borderId="0" applyAlignment="1" pivotButton="0" quotePrefix="0" xfId="1">
      <alignment vertical="center"/>
    </xf>
    <xf numFmtId="164" fontId="6" fillId="2" borderId="2" applyAlignment="1" pivotButton="0" quotePrefix="0" xfId="1">
      <alignment horizontal="center" vertical="center"/>
    </xf>
    <xf numFmtId="0" fontId="6" fillId="0" borderId="2" applyAlignment="1" pivotButton="0" quotePrefix="0" xfId="1">
      <alignment horizontal="center" vertical="center"/>
    </xf>
    <xf numFmtId="0" fontId="6" fillId="0" borderId="2" applyAlignment="1" pivotButton="0" quotePrefix="0" xfId="1">
      <alignment horizontal="center" vertical="center" wrapText="1"/>
    </xf>
    <xf numFmtId="0" fontId="6" fillId="0" borderId="2" applyAlignment="1" pivotButton="0" quotePrefix="0" xfId="1">
      <alignment horizontal="left" vertical="center"/>
    </xf>
    <xf numFmtId="164" fontId="6" fillId="0" borderId="2" applyAlignment="1" pivotButton="0" quotePrefix="0" xfId="1">
      <alignment vertical="center"/>
    </xf>
    <xf numFmtId="164" fontId="6" fillId="2" borderId="2" applyAlignment="1" pivotButton="0" quotePrefix="0" xfId="1">
      <alignment vertical="center"/>
    </xf>
    <xf numFmtId="0" fontId="7" fillId="0" borderId="0" applyAlignment="1" pivotButton="0" quotePrefix="0" xfId="1">
      <alignment horizontal="left" vertical="center"/>
    </xf>
    <xf numFmtId="164" fontId="3" fillId="2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164" fontId="8" fillId="2" borderId="1" applyAlignment="1" pivotButton="0" quotePrefix="0" xfId="1">
      <alignment vertical="center"/>
    </xf>
    <xf numFmtId="164" fontId="8" fillId="0" borderId="1" applyAlignment="1" pivotButton="0" quotePrefix="0" xfId="1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3" fillId="0" borderId="5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 vertical="center"/>
    </xf>
    <xf numFmtId="0" fontId="3" fillId="0" borderId="3" applyAlignment="1" pivotButton="0" quotePrefix="0" xfId="1">
      <alignment horizontal="center" vertical="center"/>
    </xf>
    <xf numFmtId="0" fontId="5" fillId="0" borderId="5" applyAlignment="1" pivotButton="0" quotePrefix="0" xfId="1">
      <alignment horizontal="center" vertical="center"/>
    </xf>
    <xf numFmtId="0" fontId="5" fillId="0" borderId="4" applyAlignment="1" pivotButton="0" quotePrefix="0" xfId="1">
      <alignment horizontal="center" vertical="center"/>
    </xf>
    <xf numFmtId="0" fontId="5" fillId="0" borderId="3" applyAlignment="1" pivotButton="0" quotePrefix="0" xfId="1">
      <alignment horizontal="center" vertical="center"/>
    </xf>
    <xf numFmtId="0" fontId="3" fillId="0" borderId="5" applyAlignment="1" pivotButton="0" quotePrefix="0" xfId="1">
      <alignment horizontal="center" vertical="center" wrapText="1"/>
    </xf>
    <xf numFmtId="0" fontId="3" fillId="0" borderId="4" applyAlignment="1" pivotButton="0" quotePrefix="0" xfId="1">
      <alignment horizontal="center" vertical="center" wrapText="1"/>
    </xf>
    <xf numFmtId="0" fontId="3" fillId="0" borderId="3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 wrapText="1"/>
    </xf>
    <xf numFmtId="164" fontId="8" fillId="2" borderId="0" applyAlignment="1" pivotButton="0" quotePrefix="0" xfId="1">
      <alignment vertical="center"/>
    </xf>
    <xf numFmtId="0" fontId="3" fillId="0" borderId="0" applyAlignment="1" pivotButton="0" quotePrefix="0" xfId="1">
      <alignment horizontal="right" vertical="center"/>
    </xf>
    <xf numFmtId="0" fontId="8" fillId="0" borderId="0" applyAlignment="1" pivotButton="0" quotePrefix="0" xfId="1">
      <alignment horizontal="right" vertical="center"/>
    </xf>
    <xf numFmtId="0" fontId="3" fillId="2" borderId="0" applyAlignment="1" pivotButton="0" quotePrefix="0" xfId="1">
      <alignment horizontal="right" vertical="center"/>
    </xf>
    <xf numFmtId="164" fontId="18" fillId="2" borderId="0" applyAlignment="1" pivotButton="0" quotePrefix="0" xfId="1">
      <alignment vertical="center"/>
    </xf>
    <xf numFmtId="164" fontId="3" fillId="2" borderId="0" applyAlignment="1" pivotButton="0" quotePrefix="0" xfId="1">
      <alignment vertical="center"/>
    </xf>
    <xf numFmtId="164" fontId="3" fillId="0" borderId="0" applyAlignment="1" pivotButton="0" quotePrefix="0" xfId="1">
      <alignment vertical="center"/>
    </xf>
    <xf numFmtId="0" fontId="0" fillId="0" borderId="0" pivotButton="0" quotePrefix="0" xfId="0"/>
    <xf numFmtId="164" fontId="6" fillId="2" borderId="2" applyAlignment="1" pivotButton="0" quotePrefix="0" xfId="1">
      <alignment vertical="center"/>
    </xf>
    <xf numFmtId="164" fontId="6" fillId="0" borderId="2" applyAlignment="1" pivotButton="0" quotePrefix="0" xfId="1">
      <alignment vertical="center"/>
    </xf>
    <xf numFmtId="164" fontId="6" fillId="2" borderId="2" applyAlignment="1" pivotButton="0" quotePrefix="0" xfId="1">
      <alignment horizontal="center" vertical="center"/>
    </xf>
    <xf numFmtId="164" fontId="3" fillId="2" borderId="1" applyAlignment="1" pivotButton="0" quotePrefix="0" xfId="1">
      <alignment horizontal="center" vertical="center" wrapText="1"/>
    </xf>
    <xf numFmtId="164" fontId="3" fillId="0" borderId="1" applyAlignment="1" pivotButton="0" quotePrefix="0" xfId="1">
      <alignment horizontal="center" vertical="center"/>
    </xf>
    <xf numFmtId="164" fontId="3" fillId="2" borderId="1" applyAlignment="1" pivotButton="0" quotePrefix="0" xfId="1">
      <alignment horizontal="center" vertical="center"/>
    </xf>
    <xf numFmtId="164" fontId="3" fillId="3" borderId="1" applyAlignment="1" pivotButton="0" quotePrefix="0" xfId="1">
      <alignment vertical="center"/>
    </xf>
    <xf numFmtId="0" fontId="0" fillId="0" borderId="4" pivotButton="0" quotePrefix="0" xfId="0"/>
    <xf numFmtId="164" fontId="3" fillId="2" borderId="1" applyAlignment="1" pivotButton="0" quotePrefix="0" xfId="1">
      <alignment vertical="center"/>
    </xf>
    <xf numFmtId="164" fontId="3" fillId="0" borderId="1" applyAlignment="1" pivotButton="0" quotePrefix="0" xfId="1">
      <alignment vertical="center"/>
    </xf>
    <xf numFmtId="164" fontId="8" fillId="2" borderId="1" applyAlignment="1" pivotButton="0" quotePrefix="0" xfId="1">
      <alignment vertical="center"/>
    </xf>
    <xf numFmtId="164" fontId="8" fillId="0" borderId="1" applyAlignment="1" pivotButton="0" quotePrefix="0" xfId="1">
      <alignment vertical="center"/>
    </xf>
    <xf numFmtId="0" fontId="5" fillId="0" borderId="1" applyAlignment="1" pivotButton="0" quotePrefix="0" xfId="1">
      <alignment horizontal="center" vertical="center"/>
    </xf>
    <xf numFmtId="0" fontId="0" fillId="0" borderId="3" pivotButton="0" quotePrefix="0" xfId="0"/>
    <xf numFmtId="164" fontId="18" fillId="2" borderId="0" applyAlignment="1" pivotButton="0" quotePrefix="0" xfId="1">
      <alignment vertical="center"/>
    </xf>
    <xf numFmtId="164" fontId="8" fillId="2" borderId="0" applyAlignment="1" pivotButton="0" quotePrefix="0" xfId="1">
      <alignment vertical="center"/>
    </xf>
  </cellXfs>
  <cellStyles count="2">
    <cellStyle name="一般" xfId="0" builtinId="0"/>
    <cellStyle name="一般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3"/>
  <sheetViews>
    <sheetView tabSelected="1" workbookViewId="0">
      <selection activeCell="D34" sqref="D34"/>
    </sheetView>
  </sheetViews>
  <sheetFormatPr baseColWidth="8" defaultColWidth="9" defaultRowHeight="13.5"/>
  <cols>
    <col width="4" customWidth="1" style="1" min="1" max="1"/>
    <col width="11.08984375" customWidth="1" style="1" min="2" max="2"/>
    <col width="6.36328125" bestFit="1" customWidth="1" style="1" min="3" max="3"/>
    <col width="14.36328125" customWidth="1" style="5" min="4" max="4"/>
    <col width="4" customWidth="1" style="1" min="5" max="5"/>
    <col width="12.90625" customWidth="1" style="37" min="6" max="6"/>
    <col width="7.453125" customWidth="1" style="45" min="7" max="7"/>
    <col width="7.36328125" customWidth="1" style="46" min="8" max="8"/>
    <col width="8" customWidth="1" style="46" min="9" max="9"/>
    <col width="7.90625" customWidth="1" style="46" min="10" max="10"/>
    <col width="8" customWidth="1" style="46" min="11" max="11"/>
    <col width="8.08984375" customWidth="1" style="46" min="12" max="12"/>
    <col width="7.6328125" customWidth="1" style="46" min="13" max="18"/>
    <col width="13" customWidth="1" style="47" min="18" max="18"/>
    <col width="13" customWidth="1" style="45" min="19" max="19"/>
    <col width="9" customWidth="1" style="1" min="20" max="16384"/>
  </cols>
  <sheetData>
    <row r="1" ht="33" customFormat="1" customHeight="1" s="14">
      <c r="A1" s="18" t="inlineStr">
        <is>
          <t xml:space="preserve">115年度 執行業務所得印領清冊 </t>
        </is>
      </c>
      <c r="B1" s="16" t="n"/>
      <c r="C1" s="16" t="n"/>
      <c r="D1" s="17" t="n"/>
      <c r="E1" s="16" t="n"/>
      <c r="F1" s="16" t="n"/>
      <c r="G1" s="48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50" t="n"/>
    </row>
    <row r="2" ht="54" customFormat="1" customHeight="1" s="37">
      <c r="A2" s="10" t="inlineStr">
        <is>
          <t>編號</t>
        </is>
      </c>
      <c r="B2" s="10" t="inlineStr">
        <is>
          <t>身份證號</t>
        </is>
      </c>
      <c r="C2" s="13" t="inlineStr">
        <is>
          <t>所得人
姓名</t>
        </is>
      </c>
      <c r="D2" s="13" t="inlineStr">
        <is>
          <t>地址</t>
        </is>
      </c>
      <c r="E2" s="13" t="inlineStr">
        <is>
          <t>扶養
人數</t>
        </is>
      </c>
      <c r="F2" s="10" t="inlineStr">
        <is>
          <t>明細</t>
        </is>
      </c>
      <c r="G2" s="51" t="inlineStr">
        <is>
          <t>前期佣金</t>
        </is>
      </c>
      <c r="H2" s="52" t="inlineStr">
        <is>
          <t>一月</t>
        </is>
      </c>
      <c r="I2" s="52" t="inlineStr">
        <is>
          <t>二月</t>
        </is>
      </c>
      <c r="J2" s="52" t="inlineStr">
        <is>
          <t>三月</t>
        </is>
      </c>
      <c r="K2" s="52" t="inlineStr">
        <is>
          <t>四月</t>
        </is>
      </c>
      <c r="L2" s="52" t="inlineStr">
        <is>
          <t>五月</t>
        </is>
      </c>
      <c r="M2" s="52" t="inlineStr">
        <is>
          <t>六月</t>
        </is>
      </c>
      <c r="N2" s="52" t="inlineStr">
        <is>
          <t>七月</t>
        </is>
      </c>
      <c r="O2" s="52" t="inlineStr">
        <is>
          <t>八月</t>
        </is>
      </c>
      <c r="P2" s="52" t="inlineStr">
        <is>
          <t>九月</t>
        </is>
      </c>
      <c r="Q2" s="52" t="inlineStr">
        <is>
          <t>十月</t>
        </is>
      </c>
      <c r="R2" s="52" t="inlineStr">
        <is>
          <t>十一月</t>
        </is>
      </c>
      <c r="S2" s="52" t="inlineStr">
        <is>
          <t>十二月</t>
        </is>
      </c>
      <c r="T2" s="53" t="inlineStr">
        <is>
          <t>合計</t>
        </is>
      </c>
    </row>
    <row r="3">
      <c r="A3" s="28" t="n">
        <v>1</v>
      </c>
      <c r="B3" s="31" t="n"/>
      <c r="C3" s="28" t="n"/>
      <c r="D3" s="34" t="n"/>
      <c r="E3" s="28" t="n"/>
      <c r="F3" s="12" t="inlineStr">
        <is>
          <t>佣金</t>
        </is>
      </c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4">
        <f>SUM(G3:S3)</f>
        <v/>
      </c>
    </row>
    <row r="4">
      <c r="A4" s="55" t="n"/>
      <c r="B4" s="55" t="n"/>
      <c r="C4" s="55" t="n"/>
      <c r="D4" s="55" t="n"/>
      <c r="E4" s="55" t="n"/>
      <c r="F4" s="10" t="inlineStr">
        <is>
          <t>扣繳稅額10%</t>
        </is>
      </c>
      <c r="G4" s="56" t="n"/>
      <c r="H4" s="57" t="n"/>
      <c r="I4" s="57" t="n"/>
      <c r="J4" s="57" t="n"/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6">
        <f>SUM(G4:S4)</f>
        <v/>
      </c>
    </row>
    <row r="5">
      <c r="A5" s="55" t="n"/>
      <c r="B5" s="55" t="n"/>
      <c r="C5" s="55" t="n"/>
      <c r="D5" s="55" t="n"/>
      <c r="E5" s="55" t="n"/>
      <c r="F5" s="10" t="inlineStr">
        <is>
          <t>補充保費2.11%</t>
        </is>
      </c>
      <c r="G5" s="56" t="n"/>
      <c r="H5" s="57" t="n"/>
      <c r="I5" s="57" t="n"/>
      <c r="J5" s="57" t="n"/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6">
        <f>SUM(G5:S5)</f>
        <v/>
      </c>
    </row>
    <row r="6">
      <c r="A6" s="55" t="n"/>
      <c r="B6" s="55" t="n"/>
      <c r="C6" s="55" t="n"/>
      <c r="D6" s="55" t="n"/>
      <c r="E6" s="55" t="n"/>
      <c r="F6" s="23" t="inlineStr">
        <is>
          <t>實領</t>
        </is>
      </c>
      <c r="G6" s="58" t="n"/>
      <c r="H6" s="59" t="n"/>
      <c r="I6" s="59" t="n"/>
      <c r="J6" s="59" t="n"/>
      <c r="K6" s="59" t="n"/>
      <c r="L6" s="59" t="n"/>
      <c r="M6" s="59" t="n"/>
      <c r="N6" s="59" t="n"/>
      <c r="O6" s="59" t="n"/>
      <c r="P6" s="59" t="n"/>
      <c r="Q6" s="59" t="n"/>
      <c r="R6" s="59" t="n"/>
      <c r="S6" s="59" t="n"/>
      <c r="T6" s="58">
        <f>SUM(G6:S6)</f>
        <v/>
      </c>
    </row>
    <row r="7" ht="14.25" customHeight="1" s="47">
      <c r="A7" s="28" t="n">
        <v>2</v>
      </c>
      <c r="B7" s="31" t="n"/>
      <c r="C7" s="28" t="n"/>
      <c r="D7" s="34" t="n"/>
      <c r="E7" s="28" t="n"/>
      <c r="F7" s="12" t="inlineStr">
        <is>
          <t>佣金</t>
        </is>
      </c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Q7" s="54" t="n"/>
      <c r="R7" s="54" t="n"/>
      <c r="S7" s="54" t="n"/>
      <c r="T7" s="54">
        <f>SUM(G7:S7)</f>
        <v/>
      </c>
    </row>
    <row r="8">
      <c r="A8" s="55" t="n"/>
      <c r="B8" s="55" t="n"/>
      <c r="C8" s="55" t="n"/>
      <c r="D8" s="55" t="n"/>
      <c r="E8" s="55" t="n"/>
      <c r="F8" s="10" t="inlineStr">
        <is>
          <t>扣繳稅額10%</t>
        </is>
      </c>
      <c r="G8" s="56" t="n"/>
      <c r="H8" s="57" t="n"/>
      <c r="I8" s="57" t="n"/>
      <c r="J8" s="57" t="n"/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6">
        <f>SUM(G8:S8)</f>
        <v/>
      </c>
    </row>
    <row r="9">
      <c r="A9" s="55" t="n"/>
      <c r="B9" s="55" t="n"/>
      <c r="C9" s="55" t="n"/>
      <c r="D9" s="55" t="n"/>
      <c r="E9" s="55" t="n"/>
      <c r="F9" s="10" t="inlineStr">
        <is>
          <t>補充保費2.11%</t>
        </is>
      </c>
      <c r="G9" s="56" t="n"/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6">
        <f>SUM(G9:S9)</f>
        <v/>
      </c>
    </row>
    <row r="10">
      <c r="A10" s="55" t="n"/>
      <c r="B10" s="55" t="n"/>
      <c r="C10" s="55" t="n"/>
      <c r="D10" s="55" t="n"/>
      <c r="E10" s="55" t="n"/>
      <c r="F10" s="23" t="inlineStr">
        <is>
          <t>實領</t>
        </is>
      </c>
      <c r="G10" s="58" t="n"/>
      <c r="H10" s="59" t="n"/>
      <c r="I10" s="59" t="n"/>
      <c r="J10" s="59" t="n"/>
      <c r="K10" s="59" t="n"/>
      <c r="L10" s="59" t="n"/>
      <c r="M10" s="59" t="n"/>
      <c r="N10" s="59" t="n"/>
      <c r="O10" s="59" t="n"/>
      <c r="P10" s="59" t="n"/>
      <c r="Q10" s="59" t="n"/>
      <c r="R10" s="59" t="n"/>
      <c r="S10" s="59" t="n"/>
      <c r="T10" s="58">
        <f>SUM(G10:S10)</f>
        <v/>
      </c>
    </row>
    <row r="11">
      <c r="A11" s="28" t="n">
        <v>3</v>
      </c>
      <c r="B11" s="31" t="n"/>
      <c r="C11" s="28" t="n"/>
      <c r="D11" s="34" t="n"/>
      <c r="E11" s="28" t="n"/>
      <c r="F11" s="12" t="inlineStr">
        <is>
          <t>佣金</t>
        </is>
      </c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Q11" s="54" t="n"/>
      <c r="R11" s="54" t="n"/>
      <c r="S11" s="54" t="n"/>
      <c r="T11" s="54">
        <f>SUM(G11:S11)</f>
        <v/>
      </c>
    </row>
    <row r="12">
      <c r="A12" s="55" t="n"/>
      <c r="B12" s="55" t="n"/>
      <c r="C12" s="55" t="n"/>
      <c r="D12" s="55" t="n"/>
      <c r="E12" s="55" t="n"/>
      <c r="F12" s="10" t="inlineStr">
        <is>
          <t>扣繳稅額10%</t>
        </is>
      </c>
      <c r="G12" s="56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6">
        <f>SUM(G12:S12)</f>
        <v/>
      </c>
    </row>
    <row r="13">
      <c r="A13" s="55" t="n"/>
      <c r="B13" s="55" t="n"/>
      <c r="C13" s="55" t="n"/>
      <c r="D13" s="55" t="n"/>
      <c r="E13" s="55" t="n"/>
      <c r="F13" s="10" t="inlineStr">
        <is>
          <t>補充保費2.11%</t>
        </is>
      </c>
      <c r="G13" s="56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6">
        <f>SUM(G13:S13)</f>
        <v/>
      </c>
    </row>
    <row r="14">
      <c r="A14" s="55" t="n"/>
      <c r="B14" s="55" t="n"/>
      <c r="C14" s="55" t="n"/>
      <c r="D14" s="55" t="n"/>
      <c r="E14" s="55" t="n"/>
      <c r="F14" s="23" t="inlineStr">
        <is>
          <t>實領</t>
        </is>
      </c>
      <c r="G14" s="58" t="n"/>
      <c r="H14" s="59" t="n"/>
      <c r="I14" s="59" t="n"/>
      <c r="J14" s="59" t="n"/>
      <c r="K14" s="59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8">
        <f>SUM(G14:S14)</f>
        <v/>
      </c>
    </row>
    <row r="15">
      <c r="A15" s="28" t="n">
        <v>4</v>
      </c>
      <c r="B15" s="31" t="n"/>
      <c r="C15" s="28" t="n"/>
      <c r="D15" s="34" t="n"/>
      <c r="E15" s="28" t="n"/>
      <c r="F15" s="12" t="inlineStr">
        <is>
          <t>佣金</t>
        </is>
      </c>
      <c r="G15" s="54" t="n"/>
      <c r="H15" s="54" t="n"/>
      <c r="I15" s="54" t="n"/>
      <c r="J15" s="54" t="n"/>
      <c r="K15" s="54" t="n"/>
      <c r="L15" s="54" t="n"/>
      <c r="M15" s="54" t="n"/>
      <c r="N15" s="54" t="n"/>
      <c r="O15" s="54" t="n"/>
      <c r="P15" s="54" t="n"/>
      <c r="Q15" s="54" t="n"/>
      <c r="R15" s="54" t="n"/>
      <c r="S15" s="54" t="n"/>
      <c r="T15" s="54">
        <f>SUM(G15:S15)</f>
        <v/>
      </c>
    </row>
    <row r="16">
      <c r="A16" s="55" t="n"/>
      <c r="B16" s="55" t="n"/>
      <c r="C16" s="55" t="n"/>
      <c r="D16" s="55" t="n"/>
      <c r="E16" s="55" t="n"/>
      <c r="F16" s="10" t="inlineStr">
        <is>
          <t>扣繳稅額10%</t>
        </is>
      </c>
      <c r="G16" s="56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6">
        <f>SUM(G16:S16)</f>
        <v/>
      </c>
    </row>
    <row r="17">
      <c r="A17" s="55" t="n"/>
      <c r="B17" s="55" t="n"/>
      <c r="C17" s="55" t="n"/>
      <c r="D17" s="55" t="n"/>
      <c r="E17" s="55" t="n"/>
      <c r="F17" s="10" t="inlineStr">
        <is>
          <t>補充保費2.11%</t>
        </is>
      </c>
      <c r="G17" s="56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6">
        <f>SUM(G17:S17)</f>
        <v/>
      </c>
    </row>
    <row r="18">
      <c r="A18" s="55" t="n"/>
      <c r="B18" s="55" t="n"/>
      <c r="C18" s="55" t="n"/>
      <c r="D18" s="55" t="n"/>
      <c r="E18" s="55" t="n"/>
      <c r="F18" s="23" t="inlineStr">
        <is>
          <t>實領</t>
        </is>
      </c>
      <c r="G18" s="58" t="n"/>
      <c r="H18" s="59" t="n"/>
      <c r="I18" s="59" t="n"/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  <c r="T18" s="58">
        <f>SUM(G18:S18)</f>
        <v/>
      </c>
    </row>
    <row r="19">
      <c r="A19" s="10" t="n">
        <v>5</v>
      </c>
      <c r="B19" s="60" t="n"/>
      <c r="C19" s="10" t="n"/>
      <c r="D19" s="13" t="n"/>
      <c r="E19" s="10" t="n"/>
      <c r="F19" s="12" t="inlineStr">
        <is>
          <t>佣金</t>
        </is>
      </c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  <c r="R19" s="54" t="n"/>
      <c r="S19" s="54" t="n"/>
      <c r="T19" s="54">
        <f>SUM(G19:S19)</f>
        <v/>
      </c>
    </row>
    <row r="20">
      <c r="A20" s="55" t="n"/>
      <c r="B20" s="55" t="n"/>
      <c r="C20" s="55" t="n"/>
      <c r="D20" s="55" t="n"/>
      <c r="E20" s="55" t="n"/>
      <c r="F20" s="10" t="inlineStr">
        <is>
          <t>扣繳稅額10%</t>
        </is>
      </c>
      <c r="G20" s="56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6">
        <f>SUM(G20:S20)</f>
        <v/>
      </c>
    </row>
    <row r="21">
      <c r="A21" s="55" t="n"/>
      <c r="B21" s="55" t="n"/>
      <c r="C21" s="55" t="n"/>
      <c r="D21" s="55" t="n"/>
      <c r="E21" s="55" t="n"/>
      <c r="F21" s="10" t="inlineStr">
        <is>
          <t>補充保費2.11%</t>
        </is>
      </c>
      <c r="G21" s="56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6">
        <f>SUM(G21:S21)</f>
        <v/>
      </c>
    </row>
    <row r="22">
      <c r="A22" s="61" t="n"/>
      <c r="B22" s="61" t="n"/>
      <c r="C22" s="61" t="n"/>
      <c r="D22" s="61" t="n"/>
      <c r="E22" s="61" t="n"/>
      <c r="F22" s="23" t="inlineStr">
        <is>
          <t>實領</t>
        </is>
      </c>
      <c r="G22" s="58" t="n"/>
      <c r="H22" s="59" t="n"/>
      <c r="I22" s="59" t="n"/>
      <c r="J22" s="59" t="n"/>
      <c r="K22" s="59" t="n"/>
      <c r="L22" s="59" t="n"/>
      <c r="M22" s="59" t="n"/>
      <c r="N22" s="59" t="n"/>
      <c r="O22" s="59" t="n"/>
      <c r="P22" s="59" t="n"/>
      <c r="Q22" s="59" t="n"/>
      <c r="R22" s="59" t="n"/>
      <c r="S22" s="59" t="n"/>
      <c r="T22" s="58">
        <f>SUM(G22:S22)</f>
        <v/>
      </c>
    </row>
    <row r="23">
      <c r="A23" s="37" t="n"/>
      <c r="B23" s="38" t="n"/>
      <c r="C23" s="37" t="n"/>
      <c r="D23" s="39" t="n"/>
      <c r="E23" s="37" t="n"/>
      <c r="F23" s="43" t="inlineStr">
        <is>
          <t>佣金合計</t>
        </is>
      </c>
      <c r="G23" s="62">
        <f>G3+G7+G11+G15+G19</f>
        <v/>
      </c>
      <c r="H23" s="62">
        <f>H3+H7+H11+H15+H19</f>
        <v/>
      </c>
      <c r="I23" s="62">
        <f>I3+I7+I11+I15+I19</f>
        <v/>
      </c>
      <c r="J23" s="62">
        <f>J3+J7+J11+J15+J19</f>
        <v/>
      </c>
      <c r="K23" s="62">
        <f>K3+K7+K11+K15+K19</f>
        <v/>
      </c>
      <c r="L23" s="62">
        <f>L3+L7+L11+L15+L19</f>
        <v/>
      </c>
      <c r="M23" s="62">
        <f>M3+M7+M11+M15+M19</f>
        <v/>
      </c>
      <c r="N23" s="62">
        <f>N3+N7+N11+N15+N19</f>
        <v/>
      </c>
      <c r="O23" s="62">
        <f>O3+O7+O11+O15+O19</f>
        <v/>
      </c>
      <c r="P23" s="62">
        <f>P3+P7+P11+P15+P19</f>
        <v/>
      </c>
      <c r="Q23" s="62">
        <f>Q3+Q7+Q11+Q15+Q19</f>
        <v/>
      </c>
      <c r="R23" s="62">
        <f>R3+R7+R11+R15+R19</f>
        <v/>
      </c>
      <c r="S23" s="62">
        <f>S3+S7+S11+S15+S19</f>
        <v/>
      </c>
      <c r="T23" s="62">
        <f>T3+T7+T11+T15+T19</f>
        <v/>
      </c>
    </row>
    <row r="24">
      <c r="A24" s="37" t="n"/>
      <c r="B24" s="38" t="n"/>
      <c r="C24" s="37" t="n"/>
      <c r="D24" s="39" t="n"/>
      <c r="E24" s="37" t="n"/>
      <c r="F24" s="41" t="inlineStr">
        <is>
          <t>扣繳稅額10%合計</t>
        </is>
      </c>
      <c r="G24" s="62">
        <f>G4+G8+G12+G16+G20</f>
        <v/>
      </c>
      <c r="H24" s="62">
        <f>H4+H8+H12+H16+H20</f>
        <v/>
      </c>
      <c r="I24" s="62">
        <f>I4+I8+I12+I16+I20</f>
        <v/>
      </c>
      <c r="J24" s="62">
        <f>J4+J8+J12+J16+J20</f>
        <v/>
      </c>
      <c r="K24" s="62">
        <f>K4+K8+K12+K16+K20</f>
        <v/>
      </c>
      <c r="L24" s="62">
        <f>L4+L8+L12+L16+L20</f>
        <v/>
      </c>
      <c r="M24" s="62">
        <f>M4+M8+M12+M16+M20</f>
        <v/>
      </c>
      <c r="N24" s="62">
        <f>N4+N8+N12+N16+N20</f>
        <v/>
      </c>
      <c r="O24" s="62">
        <f>O4+O8+O12+O16+O20</f>
        <v/>
      </c>
      <c r="P24" s="62">
        <f>P4+P8+P12+P16+P20</f>
        <v/>
      </c>
      <c r="Q24" s="62">
        <f>Q4+Q8+Q12+Q16+Q20</f>
        <v/>
      </c>
      <c r="R24" s="62">
        <f>R4+R8+R12+R16+R20</f>
        <v/>
      </c>
      <c r="S24" s="62">
        <f>S4+S8+S12+S16+S20</f>
        <v/>
      </c>
      <c r="T24" s="62">
        <f>T4+T8+T12+T16+T20</f>
        <v/>
      </c>
    </row>
    <row r="25">
      <c r="A25" s="37" t="n"/>
      <c r="B25" s="38" t="n"/>
      <c r="C25" s="37" t="n"/>
      <c r="D25" s="39" t="n"/>
      <c r="E25" s="37" t="n"/>
      <c r="F25" s="41" t="inlineStr">
        <is>
          <t>補充保費2.11%合計</t>
        </is>
      </c>
      <c r="G25" s="62">
        <f>G5+G9+G13+G17+G21</f>
        <v/>
      </c>
      <c r="H25" s="62">
        <f>H5+H9+H13+H17+H21</f>
        <v/>
      </c>
      <c r="I25" s="62">
        <f>I5+I9+I13+I17+I21</f>
        <v/>
      </c>
      <c r="J25" s="62">
        <f>J5+J9+J13+J17+J21</f>
        <v/>
      </c>
      <c r="K25" s="62">
        <f>K5+K9+K13+K17+K21</f>
        <v/>
      </c>
      <c r="L25" s="62">
        <f>L5+L9+L13+L17+L21</f>
        <v/>
      </c>
      <c r="M25" s="62">
        <f>M5+M9+M13+M17+M21</f>
        <v/>
      </c>
      <c r="N25" s="62">
        <f>N5+N9+N13+N17+N21</f>
        <v/>
      </c>
      <c r="O25" s="62">
        <f>O5+O9+O13+O17+O21</f>
        <v/>
      </c>
      <c r="P25" s="62">
        <f>P5+P9+P13+P17+P21</f>
        <v/>
      </c>
      <c r="Q25" s="62">
        <f>Q5+Q9+Q13+Q17+Q21</f>
        <v/>
      </c>
      <c r="R25" s="62">
        <f>R5+R9+R13+R17+R21</f>
        <v/>
      </c>
      <c r="S25" s="62">
        <f>S5+S9+S13+S17+S21</f>
        <v/>
      </c>
      <c r="T25" s="62">
        <f>T5+T9+T13+T17+T21</f>
        <v/>
      </c>
    </row>
    <row r="26" ht="15" customHeight="1" s="47">
      <c r="F26" s="42" t="inlineStr">
        <is>
          <t>實領合計</t>
        </is>
      </c>
      <c r="G26" s="63">
        <f>G6+G10+G14+G18+G22</f>
        <v/>
      </c>
      <c r="H26" s="63">
        <f>H6+H10+H14+H18+H22</f>
        <v/>
      </c>
      <c r="I26" s="63">
        <f>I6+I10+I14+I18+I22</f>
        <v/>
      </c>
      <c r="J26" s="63">
        <f>J6+J10+J14+J18+J22</f>
        <v/>
      </c>
      <c r="K26" s="63">
        <f>K6+K10+K14+K18+K22</f>
        <v/>
      </c>
      <c r="L26" s="63">
        <f>L6+L10+L14+L18+L22</f>
        <v/>
      </c>
      <c r="M26" s="63">
        <f>M6+M10+M14+M18+M22</f>
        <v/>
      </c>
      <c r="N26" s="63">
        <f>N6+N10+N14+N18+N22</f>
        <v/>
      </c>
      <c r="O26" s="63">
        <f>O6+O10+O14+O18+O22</f>
        <v/>
      </c>
      <c r="P26" s="63">
        <f>P6+P10+P14+P18+P22</f>
        <v/>
      </c>
      <c r="Q26" s="63">
        <f>Q6+Q10+Q14+Q18+Q22</f>
        <v/>
      </c>
      <c r="R26" s="63">
        <f>R6+R10+R14+R18+R22</f>
        <v/>
      </c>
      <c r="S26" s="63">
        <f>S6+S10+S14+S18+S22</f>
        <v/>
      </c>
      <c r="T26" s="63">
        <f>T6+T10+T14+T18+T22</f>
        <v/>
      </c>
    </row>
    <row r="27" ht="15" customHeight="1" s="47">
      <c r="F27" s="42" t="n"/>
      <c r="G27" s="63" t="n"/>
      <c r="H27" s="63" t="n"/>
      <c r="I27" s="63" t="n"/>
      <c r="J27" s="63" t="n"/>
      <c r="K27" s="63" t="n"/>
      <c r="L27" s="63" t="n"/>
      <c r="M27" s="63" t="n"/>
      <c r="N27" s="63" t="n"/>
      <c r="O27" s="63" t="n"/>
      <c r="P27" s="63" t="n"/>
      <c r="Q27" s="63" t="n"/>
      <c r="R27" s="63" t="n"/>
      <c r="S27" s="63" t="n"/>
      <c r="T27" s="63" t="n"/>
    </row>
    <row r="28" ht="15" customHeight="1" s="47">
      <c r="F28" s="42" t="n"/>
    </row>
    <row r="29" ht="21.5" customHeight="1" s="47">
      <c r="F29" s="26" t="inlineStr">
        <is>
          <t xml:space="preserve">                      提醒1.扣繳繳款10%， 一次給付佣金大於2萬要繳10%扣繳繳款。</t>
        </is>
      </c>
      <c r="G29" s="21" t="n"/>
    </row>
    <row r="30" ht="17" customHeight="1" s="47">
      <c r="F30" s="27" t="inlineStr">
        <is>
          <t xml:space="preserve">                           ※給付日，次月10日繳納(逾期有滯納金)，EX:6/10發佣金，7/10前繳納。</t>
        </is>
      </c>
    </row>
    <row r="31" ht="15.5" customHeight="1" s="47">
      <c r="F31" s="26" t="n"/>
    </row>
    <row r="32" ht="17" customHeight="1" s="47">
      <c r="F32" s="26" t="inlineStr">
        <is>
          <t xml:space="preserve">                      提醒2.二代健保部分，未加保在工會，一次給付佣金達2萬要繳二代健保(目前為2.11%)。</t>
        </is>
      </c>
    </row>
    <row r="33" ht="17" customHeight="1" s="47">
      <c r="F33" s="27" t="inlineStr">
        <is>
          <t xml:space="preserve">                           ※給付日，次月底繳納(逾期有滯納金)，EX:6/10發佣金，7/31前繳納。</t>
        </is>
      </c>
    </row>
  </sheetData>
  <mergeCells count="25">
    <mergeCell ref="B3:B6"/>
    <mergeCell ref="A11:A14"/>
    <mergeCell ref="B11:B14"/>
    <mergeCell ref="D11:D14"/>
    <mergeCell ref="E19:E22"/>
    <mergeCell ref="A7:A10"/>
    <mergeCell ref="A3:A6"/>
    <mergeCell ref="D7:D10"/>
    <mergeCell ref="E15:E18"/>
    <mergeCell ref="B19:B22"/>
    <mergeCell ref="D3:D6"/>
    <mergeCell ref="C11:C14"/>
    <mergeCell ref="B15:B18"/>
    <mergeCell ref="E11:E14"/>
    <mergeCell ref="C7:C10"/>
    <mergeCell ref="D15:D18"/>
    <mergeCell ref="E7:E10"/>
    <mergeCell ref="A19:A22"/>
    <mergeCell ref="C19:C22"/>
    <mergeCell ref="C3:C6"/>
    <mergeCell ref="E3:E6"/>
    <mergeCell ref="A15:A18"/>
    <mergeCell ref="B7:B10"/>
    <mergeCell ref="C15:C18"/>
    <mergeCell ref="D19:D22"/>
  </mergeCells>
  <pageMargins left="0.3937007874015748" right="0.3937007874015748" top="0.1968503937007874" bottom="0.1968503937007874" header="0.3149606299212598" footer="0.3149606299212598"/>
  <pageSetup orientation="landscape" paperSize="9" scale="90" fitToHeight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xxx</dc:creator>
  <dcterms:created xmlns:dcterms="http://purl.org/dc/terms/" xmlns:xsi="http://www.w3.org/2001/XMLSchema-instance" xsi:type="dcterms:W3CDTF">2011-09-20T01:14:41Z</dcterms:created>
  <dcterms:modified xmlns:dcterms="http://purl.org/dc/terms/" xmlns:xsi="http://www.w3.org/2001/XMLSchema-instance" xsi:type="dcterms:W3CDTF">2026-07-10T12:25:02Z</dcterms:modified>
  <cp:lastModifiedBy>安期</cp:lastModifiedBy>
  <cp:lastPrinted>2026-07-09T08:44:23Z</cp:lastPrinted>
</cp:coreProperties>
</file>